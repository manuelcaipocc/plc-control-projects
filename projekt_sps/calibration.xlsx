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plc-control-projects\projekt_sps\"/>
    </mc:Choice>
  </mc:AlternateContent>
  <xr:revisionPtr revIDLastSave="0" documentId="13_ncr:1_{D7F88EA0-C910-4182-A663-FD7C43F0A4C1}" xr6:coauthVersionLast="47" xr6:coauthVersionMax="47" xr10:uidLastSave="{00000000-0000-0000-0000-000000000000}"/>
  <bookViews>
    <workbookView xWindow="-120" yWindow="-120" windowWidth="29040" windowHeight="15840" xr2:uid="{31314FC3-B06D-4768-B34C-651B3AEA3A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1" l="1"/>
  <c r="I14" i="1"/>
  <c r="I15" i="1"/>
  <c r="I16" i="1"/>
  <c r="I17" i="1"/>
  <c r="I18" i="1"/>
  <c r="I13" i="1"/>
  <c r="H15" i="1"/>
  <c r="H16" i="1"/>
  <c r="H17" i="1"/>
  <c r="H18" i="1"/>
  <c r="H13" i="1"/>
  <c r="D14" i="1"/>
  <c r="D15" i="1"/>
  <c r="D16" i="1"/>
  <c r="D17" i="1"/>
  <c r="D18" i="1"/>
  <c r="D13" i="1"/>
  <c r="B4" i="1"/>
  <c r="C4" i="1"/>
  <c r="B6" i="1" l="1"/>
  <c r="C6" i="1" s="1"/>
</calcChain>
</file>

<file path=xl/sharedStrings.xml><?xml version="1.0" encoding="utf-8"?>
<sst xmlns="http://schemas.openxmlformats.org/spreadsheetml/2006/main" count="24" uniqueCount="23">
  <si>
    <t>area</t>
  </si>
  <si>
    <t>semicirculo</t>
  </si>
  <si>
    <t>rectangulo</t>
  </si>
  <si>
    <t>medicion</t>
  </si>
  <si>
    <t>sensor128</t>
  </si>
  <si>
    <t>sensor132</t>
  </si>
  <si>
    <t>sensor130</t>
  </si>
  <si>
    <t>altura</t>
  </si>
  <si>
    <t>presion</t>
  </si>
  <si>
    <t>area en mm2</t>
  </si>
  <si>
    <t>area en m2</t>
  </si>
  <si>
    <t>volumen ml</t>
  </si>
  <si>
    <t>volumen m3</t>
  </si>
  <si>
    <t>gravedad</t>
  </si>
  <si>
    <t>densdad</t>
  </si>
  <si>
    <t>presion_segun altura</t>
  </si>
  <si>
    <t>P=d*g*h</t>
  </si>
  <si>
    <t>V=A*h, h=V/A</t>
  </si>
  <si>
    <t>real high</t>
  </si>
  <si>
    <t>real pressure</t>
  </si>
  <si>
    <t>x</t>
  </si>
  <si>
    <t>y</t>
  </si>
  <si>
    <t>altura calculada_por volumen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</si>
</sst>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Tabelle1!$F$22:$G$22</c:f>
              <c:numCache>
                <c:formatCode>General</c:formatCode>
                <c:ptCount val="2"/>
                <c:pt idx="0">
                  <c:v>-2</c:v>
                </c:pt>
                <c:pt idx="1">
                  <c:v>0</c:v>
                </c:pt>
              </c:numCache>
            </c:numRef>
          </c:xVal>
          <c:yVal>
            <c:numRef>
              <c:f>Tabelle1!$F$23:$G$23</c:f>
              <c:numCache>
                <c:formatCode>General</c:formatCode>
                <c:ptCount val="2"/>
                <c:pt idx="0">
                  <c:v>11920</c:v>
                </c:pt>
                <c:pt idx="1">
                  <c:v>0.1031391297004955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7-4FAA-B432-AFD895F03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918536"/>
        <c:axId val="574920504"/>
      </c:scatterChart>
      <c:valAx>
        <c:axId val="57491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4920504"/>
        <c:crosses val="autoZero"/>
        <c:crossBetween val="midCat"/>
      </c:valAx>
      <c:valAx>
        <c:axId val="57492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74918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223837</xdr:colOff>
      <xdr:row>10</xdr:row>
      <xdr:rowOff>442912</xdr:rowOff>
    </xdr:from>
    <xdr:to>
      <xdr:col>17</xdr:col>
      <xdr:colOff>223837</xdr:colOff>
      <xdr:row>24</xdr:row>
      <xdr:rowOff>138112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4AA0EBC-ED68-4247-9915-EE0041EB0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6CF2-ECEB-4A51-B1E9-98F0991120EA}">
  <dimension ref="B2:M23"/>
  <sheetViews>
    <sheetView tabSelected="1" workbookViewId="0">
      <selection activeCell="C6" sqref="C6"/>
    </sheetView>
  </sheetViews>
  <sheetFormatPr baseColWidth="10" defaultRowHeight="15" x14ac:dyDescent="0.25"/>
  <cols>
    <col min="2" max="2" width="12" bestFit="1" customWidth="1"/>
    <col min="3" max="3" width="11.5703125" bestFit="1" customWidth="1"/>
    <col min="4" max="4" width="12" bestFit="1" customWidth="1"/>
    <col min="5" max="5" width="12.42578125" bestFit="1" customWidth="1"/>
    <col min="6" max="6" width="12" bestFit="1" customWidth="1"/>
    <col min="7" max="7" width="9.85546875" bestFit="1" customWidth="1"/>
    <col min="8" max="8" width="13.140625" bestFit="1" customWidth="1"/>
  </cols>
  <sheetData>
    <row r="2" spans="2:13" x14ac:dyDescent="0.25">
      <c r="B2" s="4" t="s">
        <v>0</v>
      </c>
      <c r="C2" s="4"/>
    </row>
    <row r="3" spans="2:13" x14ac:dyDescent="0.25">
      <c r="B3" t="s">
        <v>1</v>
      </c>
      <c r="C3" t="s">
        <v>2</v>
      </c>
    </row>
    <row r="4" spans="2:13" x14ac:dyDescent="0.25">
      <c r="B4">
        <f>(PI()*(51^2))/(2)</f>
        <v>4085.6412459935259</v>
      </c>
      <c r="C4">
        <f>55*102</f>
        <v>5610</v>
      </c>
    </row>
    <row r="5" spans="2:13" x14ac:dyDescent="0.25">
      <c r="B5" t="s">
        <v>9</v>
      </c>
      <c r="C5" t="s">
        <v>10</v>
      </c>
    </row>
    <row r="6" spans="2:13" x14ac:dyDescent="0.25">
      <c r="B6">
        <f>B4+C4</f>
        <v>9695.6412459935254</v>
      </c>
      <c r="C6">
        <f>B6/1000000</f>
        <v>9.6956412459935255E-3</v>
      </c>
    </row>
    <row r="8" spans="2:13" x14ac:dyDescent="0.25">
      <c r="B8" t="s">
        <v>14</v>
      </c>
      <c r="C8">
        <v>1000</v>
      </c>
    </row>
    <row r="9" spans="2:13" x14ac:dyDescent="0.25">
      <c r="B9" t="s">
        <v>13</v>
      </c>
      <c r="C9" s="3">
        <v>9.81</v>
      </c>
    </row>
    <row r="10" spans="2:13" x14ac:dyDescent="0.25">
      <c r="E10" t="s">
        <v>7</v>
      </c>
      <c r="F10" t="s">
        <v>7</v>
      </c>
      <c r="G10" t="s">
        <v>8</v>
      </c>
      <c r="H10" t="s">
        <v>18</v>
      </c>
      <c r="I10" t="s">
        <v>19</v>
      </c>
    </row>
    <row r="11" spans="2:13" ht="45" x14ac:dyDescent="0.25">
      <c r="B11" t="s">
        <v>3</v>
      </c>
      <c r="C11" t="s">
        <v>11</v>
      </c>
      <c r="D11" t="s">
        <v>12</v>
      </c>
      <c r="E11" t="s">
        <v>4</v>
      </c>
      <c r="F11" t="s">
        <v>5</v>
      </c>
      <c r="G11" t="s">
        <v>6</v>
      </c>
      <c r="H11" s="1" t="s">
        <v>22</v>
      </c>
      <c r="I11" s="1" t="s">
        <v>15</v>
      </c>
    </row>
    <row r="12" spans="2:13" x14ac:dyDescent="0.25">
      <c r="H12" t="s">
        <v>17</v>
      </c>
      <c r="I12" t="s">
        <v>16</v>
      </c>
    </row>
    <row r="13" spans="2:13" x14ac:dyDescent="0.25">
      <c r="B13">
        <v>1</v>
      </c>
      <c r="C13">
        <v>0</v>
      </c>
      <c r="D13">
        <f>C13*(10^-6)</f>
        <v>0</v>
      </c>
      <c r="E13" s="5">
        <v>560</v>
      </c>
      <c r="F13" s="6">
        <v>-2</v>
      </c>
      <c r="G13" s="5">
        <v>-82</v>
      </c>
      <c r="H13" s="5">
        <f>D13/$C$6</f>
        <v>0</v>
      </c>
      <c r="I13">
        <f>$C$8*$C$9*H13</f>
        <v>0</v>
      </c>
    </row>
    <row r="14" spans="2:13" x14ac:dyDescent="0.25">
      <c r="B14" s="2">
        <v>2</v>
      </c>
      <c r="C14" s="2">
        <v>200</v>
      </c>
      <c r="D14" s="2">
        <f t="shared" ref="D14:D18" si="0">C14*(10^-6)</f>
        <v>1.9999999999999998E-4</v>
      </c>
      <c r="E14" s="2">
        <v>585</v>
      </c>
      <c r="F14" s="2">
        <v>-2</v>
      </c>
      <c r="G14" s="2">
        <v>-20</v>
      </c>
      <c r="H14" s="2">
        <f>D14/$C$6</f>
        <v>2.0627825940099098E-2</v>
      </c>
      <c r="I14" s="2">
        <f t="shared" ref="I14:I18" si="1">$C$8*$C$9*H14</f>
        <v>202.35897247237216</v>
      </c>
      <c r="J14" s="2"/>
      <c r="K14" s="2"/>
      <c r="L14" s="2"/>
      <c r="M14" s="2"/>
    </row>
    <row r="15" spans="2:13" x14ac:dyDescent="0.25">
      <c r="B15" s="2">
        <v>3</v>
      </c>
      <c r="C15" s="2">
        <v>400</v>
      </c>
      <c r="D15" s="2">
        <f t="shared" si="0"/>
        <v>3.9999999999999996E-4</v>
      </c>
      <c r="E15" s="2">
        <v>712</v>
      </c>
      <c r="F15" s="2">
        <v>5345</v>
      </c>
      <c r="G15" s="2">
        <v>108</v>
      </c>
      <c r="H15" s="2">
        <f t="shared" ref="H15:H18" si="2">D15/$C$6</f>
        <v>4.1255651880198196E-2</v>
      </c>
      <c r="I15" s="2">
        <f t="shared" si="1"/>
        <v>404.71794494474432</v>
      </c>
      <c r="J15" s="2"/>
      <c r="K15" s="2"/>
      <c r="L15" s="2"/>
      <c r="M15" s="2"/>
    </row>
    <row r="16" spans="2:13" x14ac:dyDescent="0.25">
      <c r="B16">
        <v>4</v>
      </c>
      <c r="C16">
        <v>600</v>
      </c>
      <c r="D16">
        <f t="shared" si="0"/>
        <v>5.9999999999999995E-4</v>
      </c>
      <c r="E16">
        <v>817</v>
      </c>
      <c r="F16" s="5">
        <v>8080</v>
      </c>
      <c r="G16">
        <v>240</v>
      </c>
      <c r="H16" s="5">
        <f t="shared" si="2"/>
        <v>6.1883477820297295E-2</v>
      </c>
      <c r="I16">
        <f t="shared" si="1"/>
        <v>607.07691741711642</v>
      </c>
    </row>
    <row r="17" spans="2:9" x14ac:dyDescent="0.25">
      <c r="B17">
        <v>5</v>
      </c>
      <c r="C17">
        <v>800</v>
      </c>
      <c r="D17">
        <f t="shared" si="0"/>
        <v>7.9999999999999993E-4</v>
      </c>
      <c r="E17">
        <v>900</v>
      </c>
      <c r="F17">
        <v>10585</v>
      </c>
      <c r="G17">
        <v>342</v>
      </c>
      <c r="H17">
        <f t="shared" si="2"/>
        <v>8.2511303760396393E-2</v>
      </c>
      <c r="I17">
        <f t="shared" si="1"/>
        <v>809.43588988948864</v>
      </c>
    </row>
    <row r="18" spans="2:9" x14ac:dyDescent="0.25">
      <c r="B18">
        <v>6</v>
      </c>
      <c r="C18">
        <v>1000</v>
      </c>
      <c r="D18">
        <f t="shared" si="0"/>
        <v>1E-3</v>
      </c>
      <c r="E18" s="5">
        <v>973</v>
      </c>
      <c r="F18" s="5">
        <v>11920</v>
      </c>
      <c r="G18" s="5">
        <v>525</v>
      </c>
      <c r="H18" s="5">
        <f t="shared" si="2"/>
        <v>0.1031391297004955</v>
      </c>
      <c r="I18">
        <f t="shared" si="1"/>
        <v>1011.7948623618609</v>
      </c>
    </row>
    <row r="21" spans="2:9" x14ac:dyDescent="0.25">
      <c r="F21" t="s">
        <v>20</v>
      </c>
      <c r="G21" t="s">
        <v>21</v>
      </c>
    </row>
    <row r="22" spans="2:9" x14ac:dyDescent="0.25">
      <c r="F22">
        <v>-2</v>
      </c>
      <c r="G22">
        <v>0</v>
      </c>
    </row>
    <row r="23" spans="2:9" x14ac:dyDescent="0.25">
      <c r="F23">
        <v>11920</v>
      </c>
      <c r="G23">
        <v>0.1031391297004955</v>
      </c>
    </row>
  </sheetData>
  <mergeCells count="1">
    <mergeCell ref="B2:C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Caipo Ccoa</cp:lastModifiedBy>
  <dcterms:created xsi:type="dcterms:W3CDTF">2025-06-12T18:11:23Z</dcterms:created>
  <dcterms:modified xsi:type="dcterms:W3CDTF">2025-06-13T09:50:09Z</dcterms:modified>
</cp:coreProperties>
</file>